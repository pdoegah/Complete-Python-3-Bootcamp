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Contributions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GH₵&quot;#,##0.00"/>
    <numFmt numFmtId="165" formatCode="d mmm yyyy"/>
  </numFmts>
  <fonts count="15">
    <font>
      <name val="Calibri"/>
      <family val="2"/>
      <color theme="1"/>
      <sz val="11"/>
      <scheme val="minor"/>
    </font>
    <font>
      <name val="Arial"/>
      <b val="1"/>
      <color rgb="001F6F50"/>
      <sz val="9"/>
    </font>
    <font>
      <name val="Arial"/>
      <b val="1"/>
      <color rgb="0017231E"/>
      <sz val="16"/>
    </font>
    <font>
      <name val="Arial"/>
      <color rgb="004D5C56"/>
      <sz val="10"/>
    </font>
    <font>
      <name val="Arial"/>
      <color rgb="007A8983"/>
      <sz val="10"/>
    </font>
    <font>
      <name val="Arial"/>
      <b val="1"/>
      <color rgb="007A8983"/>
      <sz val="9"/>
    </font>
    <font>
      <name val="Arial"/>
      <b val="1"/>
      <color rgb="001F6F50"/>
      <sz val="18"/>
    </font>
    <font>
      <name val="Arial"/>
      <b val="1"/>
      <color rgb="0017231E"/>
      <sz val="18"/>
    </font>
    <font>
      <name val="Arial"/>
      <color rgb="007A8983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7A8983"/>
      <sz val="9"/>
    </font>
    <font>
      <name val="Arial"/>
      <color rgb="000000FF"/>
      <sz val="10"/>
    </font>
    <font>
      <name val="Arial"/>
      <b val="1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4F7F5"/>
      </patternFill>
    </fill>
    <fill>
      <patternFill patternType="solid">
        <fgColor rgb="001F6F5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top style="medium">
        <color rgb="0017231E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164" fontId="6" fillId="2" borderId="0" applyAlignment="1" pivotButton="0" quotePrefix="0" xfId="0">
      <alignment vertical="center"/>
    </xf>
    <xf numFmtId="1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pivotButton="0" quotePrefix="0" xfId="0"/>
    <xf numFmtId="0" fontId="9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right" vertical="center"/>
    </xf>
    <xf numFmtId="164" fontId="0" fillId="0" borderId="0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0" fontId="11" fillId="0" borderId="0" pivotButton="0" quotePrefix="0" xfId="0"/>
    <xf numFmtId="165" fontId="0" fillId="0" borderId="0" pivotButton="0" quotePrefix="0" xfId="0"/>
    <xf numFmtId="0" fontId="9" fillId="3" borderId="0" applyAlignment="1" pivotButton="0" quotePrefix="0" xfId="0">
      <alignment vertical="center"/>
    </xf>
    <xf numFmtId="165" fontId="12" fillId="4" borderId="0" pivotButton="0" quotePrefix="0" xfId="0"/>
    <xf numFmtId="0" fontId="12" fillId="4" borderId="0" pivotButton="0" quotePrefix="0" xfId="0"/>
    <xf numFmtId="164" fontId="12" fillId="4" borderId="0" pivotButton="0" quotePrefix="0" xfId="0"/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8" customWidth="1" min="4" max="4"/>
    <col width="4" customWidth="1" min="5" max="5"/>
  </cols>
  <sheetData>
    <row r="1">
      <c r="A1" s="1" t="inlineStr">
        <is>
          <t>CONTRIBUTION LEDGER</t>
        </is>
      </c>
    </row>
    <row r="2" ht="44" customHeight="1">
      <c r="A2" s="2" t="inlineStr">
        <is>
          <t>Funeral Contribution For Our Brother Emmanuel Papa Nii Quaye</t>
        </is>
      </c>
    </row>
    <row r="3" ht="46" customHeight="1">
      <c r="A3" s="3" t="inlineStr">
        <is>
          <t>Contributions from the group towards the funeral of our brother Emmanuel Papa Nii Quaye. Every amount received is recorded here by the managers so that all members can see it.</t>
        </is>
      </c>
    </row>
    <row r="4">
      <c r="A4" s="4" t="inlineStr">
        <is>
          <t>Managed by Charles Quaye and Emmanuel Kpakpoe Addo. Members can view this sheet but not change it.</t>
        </is>
      </c>
    </row>
    <row r="6">
      <c r="B6" s="5" t="inlineStr">
        <is>
          <t>TOTAL COLLECTED</t>
        </is>
      </c>
      <c r="C6" s="5" t="inlineStr">
        <is>
          <t>CONTRIBUTORS</t>
        </is>
      </c>
      <c r="D6" s="5" t="inlineStr">
        <is>
          <t>ENTRIES</t>
        </is>
      </c>
    </row>
    <row r="7" ht="30" customHeight="1">
      <c r="B7" s="6">
        <f>SUM(Contributions!$C$2:$C$2000)</f>
        <v/>
      </c>
      <c r="C7" s="7">
        <f>SUMPRODUCT((Contributions!$B$2:$B$2000&lt;&gt;"")/COUNTIF(Contributions!$B$2:$B$2000,Contributions!$B$2:$B$2000&amp;""))</f>
        <v/>
      </c>
      <c r="D7" s="8">
        <f>COUNT(Contributions!$C$2:$C$2000)</f>
        <v/>
      </c>
    </row>
    <row r="8">
      <c r="B8" s="9" t="inlineStr">
        <is>
          <t>in Ghana cedis (GHS)</t>
        </is>
      </c>
      <c r="C8" s="9" t="inlineStr">
        <is>
          <t>people who gave</t>
        </is>
      </c>
      <c r="D8" s="9" t="inlineStr">
        <is>
          <t>payments recorded</t>
        </is>
      </c>
    </row>
    <row r="10">
      <c r="A10" s="1" t="inlineStr">
        <is>
          <t>BY MEMBER</t>
        </is>
      </c>
    </row>
    <row r="11">
      <c r="A11" s="10" t="inlineStr">
        <is>
          <t>#</t>
        </is>
      </c>
      <c r="B11" s="10" t="inlineStr">
        <is>
          <t>Member</t>
        </is>
      </c>
      <c r="C11" s="11" t="inlineStr">
        <is>
          <t>Payments</t>
        </is>
      </c>
      <c r="D11" s="11" t="inlineStr">
        <is>
          <t>Total given</t>
        </is>
      </c>
    </row>
    <row r="12">
      <c r="A12">
        <f>IF(B12="","",1)</f>
        <v/>
      </c>
      <c r="B12">
        <f t="array" ref="B12">IFERROR(INDEX(Contributions!$B$2:$B$2000,MATCH(1,(COUNTIF($B$11:B11,Contributions!$B$2:$B$2000)=0)*(Contributions!$B$2:$B$2000&lt;&gt;""),0)),"")</f>
        <v/>
      </c>
      <c r="C12">
        <f>IF(B12="","",COUNTIF(Contributions!$B$2:$B$2000,B12))</f>
        <v/>
      </c>
      <c r="D12" s="12">
        <f>IF(B12="","",SUMIF(Contributions!$B$2:$B$2000,B12,Contributions!$C$2:$C$2000))</f>
        <v/>
      </c>
    </row>
    <row r="13">
      <c r="A13">
        <f>IF(B13="","",2)</f>
        <v/>
      </c>
      <c r="B13">
        <f t="array" ref="B13">IFERROR(INDEX(Contributions!$B$2:$B$2000,MATCH(1,(COUNTIF($B$11:B12,Contributions!$B$2:$B$2000)=0)*(Contributions!$B$2:$B$2000&lt;&gt;""),0)),"")</f>
        <v/>
      </c>
      <c r="C13">
        <f>IF(B13="","",COUNTIF(Contributions!$B$2:$B$2000,B13))</f>
        <v/>
      </c>
      <c r="D13" s="12">
        <f>IF(B13="","",SUMIF(Contributions!$B$2:$B$2000,B13,Contributions!$C$2:$C$2000))</f>
        <v/>
      </c>
    </row>
    <row r="14">
      <c r="A14">
        <f>IF(B14="","",3)</f>
        <v/>
      </c>
      <c r="B14">
        <f t="array" ref="B14">IFERROR(INDEX(Contributions!$B$2:$B$2000,MATCH(1,(COUNTIF($B$11:B13,Contributions!$B$2:$B$2000)=0)*(Contributions!$B$2:$B$2000&lt;&gt;""),0)),"")</f>
        <v/>
      </c>
      <c r="C14">
        <f>IF(B14="","",COUNTIF(Contributions!$B$2:$B$2000,B14))</f>
        <v/>
      </c>
      <c r="D14" s="12">
        <f>IF(B14="","",SUMIF(Contributions!$B$2:$B$2000,B14,Contributions!$C$2:$C$2000))</f>
        <v/>
      </c>
    </row>
    <row r="15">
      <c r="A15">
        <f>IF(B15="","",4)</f>
        <v/>
      </c>
      <c r="B15">
        <f t="array" ref="B15">IFERROR(INDEX(Contributions!$B$2:$B$2000,MATCH(1,(COUNTIF($B$11:B14,Contributions!$B$2:$B$2000)=0)*(Contributions!$B$2:$B$2000&lt;&gt;""),0)),"")</f>
        <v/>
      </c>
      <c r="C15">
        <f>IF(B15="","",COUNTIF(Contributions!$B$2:$B$2000,B15))</f>
        <v/>
      </c>
      <c r="D15" s="12">
        <f>IF(B15="","",SUMIF(Contributions!$B$2:$B$2000,B15,Contributions!$C$2:$C$2000))</f>
        <v/>
      </c>
    </row>
    <row r="16">
      <c r="A16">
        <f>IF(B16="","",5)</f>
        <v/>
      </c>
      <c r="B16">
        <f t="array" ref="B16">IFERROR(INDEX(Contributions!$B$2:$B$2000,MATCH(1,(COUNTIF($B$11:B15,Contributions!$B$2:$B$2000)=0)*(Contributions!$B$2:$B$2000&lt;&gt;""),0)),"")</f>
        <v/>
      </c>
      <c r="C16">
        <f>IF(B16="","",COUNTIF(Contributions!$B$2:$B$2000,B16))</f>
        <v/>
      </c>
      <c r="D16" s="12">
        <f>IF(B16="","",SUMIF(Contributions!$B$2:$B$2000,B16,Contributions!$C$2:$C$2000))</f>
        <v/>
      </c>
    </row>
    <row r="17">
      <c r="A17">
        <f>IF(B17="","",6)</f>
        <v/>
      </c>
      <c r="B17">
        <f t="array" ref="B17">IFERROR(INDEX(Contributions!$B$2:$B$2000,MATCH(1,(COUNTIF($B$11:B16,Contributions!$B$2:$B$2000)=0)*(Contributions!$B$2:$B$2000&lt;&gt;""),0)),"")</f>
        <v/>
      </c>
      <c r="C17">
        <f>IF(B17="","",COUNTIF(Contributions!$B$2:$B$2000,B17))</f>
        <v/>
      </c>
      <c r="D17" s="12">
        <f>IF(B17="","",SUMIF(Contributions!$B$2:$B$2000,B17,Contributions!$C$2:$C$2000))</f>
        <v/>
      </c>
    </row>
    <row r="18">
      <c r="A18">
        <f>IF(B18="","",7)</f>
        <v/>
      </c>
      <c r="B18">
        <f t="array" ref="B18">IFERROR(INDEX(Contributions!$B$2:$B$2000,MATCH(1,(COUNTIF($B$11:B17,Contributions!$B$2:$B$2000)=0)*(Contributions!$B$2:$B$2000&lt;&gt;""),0)),"")</f>
        <v/>
      </c>
      <c r="C18">
        <f>IF(B18="","",COUNTIF(Contributions!$B$2:$B$2000,B18))</f>
        <v/>
      </c>
      <c r="D18" s="12">
        <f>IF(B18="","",SUMIF(Contributions!$B$2:$B$2000,B18,Contributions!$C$2:$C$2000))</f>
        <v/>
      </c>
    </row>
    <row r="19">
      <c r="A19">
        <f>IF(B19="","",8)</f>
        <v/>
      </c>
      <c r="B19">
        <f t="array" ref="B19">IFERROR(INDEX(Contributions!$B$2:$B$2000,MATCH(1,(COUNTIF($B$11:B18,Contributions!$B$2:$B$2000)=0)*(Contributions!$B$2:$B$2000&lt;&gt;""),0)),"")</f>
        <v/>
      </c>
      <c r="C19">
        <f>IF(B19="","",COUNTIF(Contributions!$B$2:$B$2000,B19))</f>
        <v/>
      </c>
      <c r="D19" s="12">
        <f>IF(B19="","",SUMIF(Contributions!$B$2:$B$2000,B19,Contributions!$C$2:$C$2000))</f>
        <v/>
      </c>
    </row>
    <row r="20">
      <c r="A20">
        <f>IF(B20="","",9)</f>
        <v/>
      </c>
      <c r="B20">
        <f t="array" ref="B20">IFERROR(INDEX(Contributions!$B$2:$B$2000,MATCH(1,(COUNTIF($B$11:B19,Contributions!$B$2:$B$2000)=0)*(Contributions!$B$2:$B$2000&lt;&gt;""),0)),"")</f>
        <v/>
      </c>
      <c r="C20">
        <f>IF(B20="","",COUNTIF(Contributions!$B$2:$B$2000,B20))</f>
        <v/>
      </c>
      <c r="D20" s="12">
        <f>IF(B20="","",SUMIF(Contributions!$B$2:$B$2000,B20,Contributions!$C$2:$C$2000))</f>
        <v/>
      </c>
    </row>
    <row r="21">
      <c r="A21">
        <f>IF(B21="","",10)</f>
        <v/>
      </c>
      <c r="B21">
        <f t="array" ref="B21">IFERROR(INDEX(Contributions!$B$2:$B$2000,MATCH(1,(COUNTIF($B$11:B20,Contributions!$B$2:$B$2000)=0)*(Contributions!$B$2:$B$2000&lt;&gt;""),0)),"")</f>
        <v/>
      </c>
      <c r="C21">
        <f>IF(B21="","",COUNTIF(Contributions!$B$2:$B$2000,B21))</f>
        <v/>
      </c>
      <c r="D21" s="12">
        <f>IF(B21="","",SUMIF(Contributions!$B$2:$B$2000,B21,Contributions!$C$2:$C$2000))</f>
        <v/>
      </c>
    </row>
    <row r="22">
      <c r="A22">
        <f>IF(B22="","",11)</f>
        <v/>
      </c>
      <c r="B22">
        <f t="array" ref="B22">IFERROR(INDEX(Contributions!$B$2:$B$2000,MATCH(1,(COUNTIF($B$11:B21,Contributions!$B$2:$B$2000)=0)*(Contributions!$B$2:$B$2000&lt;&gt;""),0)),"")</f>
        <v/>
      </c>
      <c r="C22">
        <f>IF(B22="","",COUNTIF(Contributions!$B$2:$B$2000,B22))</f>
        <v/>
      </c>
      <c r="D22" s="12">
        <f>IF(B22="","",SUMIF(Contributions!$B$2:$B$2000,B22,Contributions!$C$2:$C$2000))</f>
        <v/>
      </c>
    </row>
    <row r="23">
      <c r="A23">
        <f>IF(B23="","",12)</f>
        <v/>
      </c>
      <c r="B23">
        <f t="array" ref="B23">IFERROR(INDEX(Contributions!$B$2:$B$2000,MATCH(1,(COUNTIF($B$11:B22,Contributions!$B$2:$B$2000)=0)*(Contributions!$B$2:$B$2000&lt;&gt;""),0)),"")</f>
        <v/>
      </c>
      <c r="C23">
        <f>IF(B23="","",COUNTIF(Contributions!$B$2:$B$2000,B23))</f>
        <v/>
      </c>
      <c r="D23" s="12">
        <f>IF(B23="","",SUMIF(Contributions!$B$2:$B$2000,B23,Contributions!$C$2:$C$2000))</f>
        <v/>
      </c>
    </row>
    <row r="24">
      <c r="A24">
        <f>IF(B24="","",13)</f>
        <v/>
      </c>
      <c r="B24">
        <f t="array" ref="B24">IFERROR(INDEX(Contributions!$B$2:$B$2000,MATCH(1,(COUNTIF($B$11:B23,Contributions!$B$2:$B$2000)=0)*(Contributions!$B$2:$B$2000&lt;&gt;""),0)),"")</f>
        <v/>
      </c>
      <c r="C24">
        <f>IF(B24="","",COUNTIF(Contributions!$B$2:$B$2000,B24))</f>
        <v/>
      </c>
      <c r="D24" s="12">
        <f>IF(B24="","",SUMIF(Contributions!$B$2:$B$2000,B24,Contributions!$C$2:$C$2000))</f>
        <v/>
      </c>
    </row>
    <row r="25">
      <c r="A25">
        <f>IF(B25="","",14)</f>
        <v/>
      </c>
      <c r="B25">
        <f t="array" ref="B25">IFERROR(INDEX(Contributions!$B$2:$B$2000,MATCH(1,(COUNTIF($B$11:B24,Contributions!$B$2:$B$2000)=0)*(Contributions!$B$2:$B$2000&lt;&gt;""),0)),"")</f>
        <v/>
      </c>
      <c r="C25">
        <f>IF(B25="","",COUNTIF(Contributions!$B$2:$B$2000,B25))</f>
        <v/>
      </c>
      <c r="D25" s="12">
        <f>IF(B25="","",SUMIF(Contributions!$B$2:$B$2000,B25,Contributions!$C$2:$C$2000))</f>
        <v/>
      </c>
    </row>
    <row r="26">
      <c r="A26">
        <f>IF(B26="","",15)</f>
        <v/>
      </c>
      <c r="B26">
        <f t="array" ref="B26">IFERROR(INDEX(Contributions!$B$2:$B$2000,MATCH(1,(COUNTIF($B$11:B25,Contributions!$B$2:$B$2000)=0)*(Contributions!$B$2:$B$2000&lt;&gt;""),0)),"")</f>
        <v/>
      </c>
      <c r="C26">
        <f>IF(B26="","",COUNTIF(Contributions!$B$2:$B$2000,B26))</f>
        <v/>
      </c>
      <c r="D26" s="12">
        <f>IF(B26="","",SUMIF(Contributions!$B$2:$B$2000,B26,Contributions!$C$2:$C$2000))</f>
        <v/>
      </c>
    </row>
    <row r="27">
      <c r="A27">
        <f>IF(B27="","",16)</f>
        <v/>
      </c>
      <c r="B27">
        <f t="array" ref="B27">IFERROR(INDEX(Contributions!$B$2:$B$2000,MATCH(1,(COUNTIF($B$11:B26,Contributions!$B$2:$B$2000)=0)*(Contributions!$B$2:$B$2000&lt;&gt;""),0)),"")</f>
        <v/>
      </c>
      <c r="C27">
        <f>IF(B27="","",COUNTIF(Contributions!$B$2:$B$2000,B27))</f>
        <v/>
      </c>
      <c r="D27" s="12">
        <f>IF(B27="","",SUMIF(Contributions!$B$2:$B$2000,B27,Contributions!$C$2:$C$2000))</f>
        <v/>
      </c>
    </row>
    <row r="28">
      <c r="A28">
        <f>IF(B28="","",17)</f>
        <v/>
      </c>
      <c r="B28">
        <f t="array" ref="B28">IFERROR(INDEX(Contributions!$B$2:$B$2000,MATCH(1,(COUNTIF($B$11:B27,Contributions!$B$2:$B$2000)=0)*(Contributions!$B$2:$B$2000&lt;&gt;""),0)),"")</f>
        <v/>
      </c>
      <c r="C28">
        <f>IF(B28="","",COUNTIF(Contributions!$B$2:$B$2000,B28))</f>
        <v/>
      </c>
      <c r="D28" s="12">
        <f>IF(B28="","",SUMIF(Contributions!$B$2:$B$2000,B28,Contributions!$C$2:$C$2000))</f>
        <v/>
      </c>
    </row>
    <row r="29">
      <c r="A29">
        <f>IF(B29="","",18)</f>
        <v/>
      </c>
      <c r="B29">
        <f t="array" ref="B29">IFERROR(INDEX(Contributions!$B$2:$B$2000,MATCH(1,(COUNTIF($B$11:B28,Contributions!$B$2:$B$2000)=0)*(Contributions!$B$2:$B$2000&lt;&gt;""),0)),"")</f>
        <v/>
      </c>
      <c r="C29">
        <f>IF(B29="","",COUNTIF(Contributions!$B$2:$B$2000,B29))</f>
        <v/>
      </c>
      <c r="D29" s="12">
        <f>IF(B29="","",SUMIF(Contributions!$B$2:$B$2000,B29,Contributions!$C$2:$C$2000))</f>
        <v/>
      </c>
    </row>
    <row r="30">
      <c r="A30">
        <f>IF(B30="","",19)</f>
        <v/>
      </c>
      <c r="B30">
        <f t="array" ref="B30">IFERROR(INDEX(Contributions!$B$2:$B$2000,MATCH(1,(COUNTIF($B$11:B29,Contributions!$B$2:$B$2000)=0)*(Contributions!$B$2:$B$2000&lt;&gt;""),0)),"")</f>
        <v/>
      </c>
      <c r="C30">
        <f>IF(B30="","",COUNTIF(Contributions!$B$2:$B$2000,B30))</f>
        <v/>
      </c>
      <c r="D30" s="12">
        <f>IF(B30="","",SUMIF(Contributions!$B$2:$B$2000,B30,Contributions!$C$2:$C$2000))</f>
        <v/>
      </c>
    </row>
    <row r="31">
      <c r="A31">
        <f>IF(B31="","",20)</f>
        <v/>
      </c>
      <c r="B31">
        <f t="array" ref="B31">IFERROR(INDEX(Contributions!$B$2:$B$2000,MATCH(1,(COUNTIF($B$11:B30,Contributions!$B$2:$B$2000)=0)*(Contributions!$B$2:$B$2000&lt;&gt;""),0)),"")</f>
        <v/>
      </c>
      <c r="C31">
        <f>IF(B31="","",COUNTIF(Contributions!$B$2:$B$2000,B31))</f>
        <v/>
      </c>
      <c r="D31" s="12">
        <f>IF(B31="","",SUMIF(Contributions!$B$2:$B$2000,B31,Contributions!$C$2:$C$2000))</f>
        <v/>
      </c>
    </row>
    <row r="32">
      <c r="A32">
        <f>IF(B32="","",21)</f>
        <v/>
      </c>
      <c r="B32">
        <f t="array" ref="B32">IFERROR(INDEX(Contributions!$B$2:$B$2000,MATCH(1,(COUNTIF($B$11:B31,Contributions!$B$2:$B$2000)=0)*(Contributions!$B$2:$B$2000&lt;&gt;""),0)),"")</f>
        <v/>
      </c>
      <c r="C32">
        <f>IF(B32="","",COUNTIF(Contributions!$B$2:$B$2000,B32))</f>
        <v/>
      </c>
      <c r="D32" s="12">
        <f>IF(B32="","",SUMIF(Contributions!$B$2:$B$2000,B32,Contributions!$C$2:$C$2000))</f>
        <v/>
      </c>
    </row>
    <row r="33">
      <c r="A33">
        <f>IF(B33="","",22)</f>
        <v/>
      </c>
      <c r="B33">
        <f t="array" ref="B33">IFERROR(INDEX(Contributions!$B$2:$B$2000,MATCH(1,(COUNTIF($B$11:B32,Contributions!$B$2:$B$2000)=0)*(Contributions!$B$2:$B$2000&lt;&gt;""),0)),"")</f>
        <v/>
      </c>
      <c r="C33">
        <f>IF(B33="","",COUNTIF(Contributions!$B$2:$B$2000,B33))</f>
        <v/>
      </c>
      <c r="D33" s="12">
        <f>IF(B33="","",SUMIF(Contributions!$B$2:$B$2000,B33,Contributions!$C$2:$C$2000))</f>
        <v/>
      </c>
    </row>
    <row r="34">
      <c r="A34">
        <f>IF(B34="","",23)</f>
        <v/>
      </c>
      <c r="B34">
        <f t="array" ref="B34">IFERROR(INDEX(Contributions!$B$2:$B$2000,MATCH(1,(COUNTIF($B$11:B33,Contributions!$B$2:$B$2000)=0)*(Contributions!$B$2:$B$2000&lt;&gt;""),0)),"")</f>
        <v/>
      </c>
      <c r="C34">
        <f>IF(B34="","",COUNTIF(Contributions!$B$2:$B$2000,B34))</f>
        <v/>
      </c>
      <c r="D34" s="12">
        <f>IF(B34="","",SUMIF(Contributions!$B$2:$B$2000,B34,Contributions!$C$2:$C$2000))</f>
        <v/>
      </c>
    </row>
    <row r="35">
      <c r="A35">
        <f>IF(B35="","",24)</f>
        <v/>
      </c>
      <c r="B35">
        <f t="array" ref="B35">IFERROR(INDEX(Contributions!$B$2:$B$2000,MATCH(1,(COUNTIF($B$11:B34,Contributions!$B$2:$B$2000)=0)*(Contributions!$B$2:$B$2000&lt;&gt;""),0)),"")</f>
        <v/>
      </c>
      <c r="C35">
        <f>IF(B35="","",COUNTIF(Contributions!$B$2:$B$2000,B35))</f>
        <v/>
      </c>
      <c r="D35" s="12">
        <f>IF(B35="","",SUMIF(Contributions!$B$2:$B$2000,B35,Contributions!$C$2:$C$2000))</f>
        <v/>
      </c>
    </row>
    <row r="36">
      <c r="A36">
        <f>IF(B36="","",25)</f>
        <v/>
      </c>
      <c r="B36">
        <f t="array" ref="B36">IFERROR(INDEX(Contributions!$B$2:$B$2000,MATCH(1,(COUNTIF($B$11:B35,Contributions!$B$2:$B$2000)=0)*(Contributions!$B$2:$B$2000&lt;&gt;""),0)),"")</f>
        <v/>
      </c>
      <c r="C36">
        <f>IF(B36="","",COUNTIF(Contributions!$B$2:$B$2000,B36))</f>
        <v/>
      </c>
      <c r="D36" s="12">
        <f>IF(B36="","",SUMIF(Contributions!$B$2:$B$2000,B36,Contributions!$C$2:$C$2000))</f>
        <v/>
      </c>
    </row>
    <row r="37">
      <c r="A37">
        <f>IF(B37="","",26)</f>
        <v/>
      </c>
      <c r="B37">
        <f t="array" ref="B37">IFERROR(INDEX(Contributions!$B$2:$B$2000,MATCH(1,(COUNTIF($B$11:B36,Contributions!$B$2:$B$2000)=0)*(Contributions!$B$2:$B$2000&lt;&gt;""),0)),"")</f>
        <v/>
      </c>
      <c r="C37">
        <f>IF(B37="","",COUNTIF(Contributions!$B$2:$B$2000,B37))</f>
        <v/>
      </c>
      <c r="D37" s="12">
        <f>IF(B37="","",SUMIF(Contributions!$B$2:$B$2000,B37,Contributions!$C$2:$C$2000))</f>
        <v/>
      </c>
    </row>
    <row r="38">
      <c r="A38">
        <f>IF(B38="","",27)</f>
        <v/>
      </c>
      <c r="B38">
        <f t="array" ref="B38">IFERROR(INDEX(Contributions!$B$2:$B$2000,MATCH(1,(COUNTIF($B$11:B37,Contributions!$B$2:$B$2000)=0)*(Contributions!$B$2:$B$2000&lt;&gt;""),0)),"")</f>
        <v/>
      </c>
      <c r="C38">
        <f>IF(B38="","",COUNTIF(Contributions!$B$2:$B$2000,B38))</f>
        <v/>
      </c>
      <c r="D38" s="12">
        <f>IF(B38="","",SUMIF(Contributions!$B$2:$B$2000,B38,Contributions!$C$2:$C$2000))</f>
        <v/>
      </c>
    </row>
    <row r="39">
      <c r="A39">
        <f>IF(B39="","",28)</f>
        <v/>
      </c>
      <c r="B39">
        <f t="array" ref="B39">IFERROR(INDEX(Contributions!$B$2:$B$2000,MATCH(1,(COUNTIF($B$11:B38,Contributions!$B$2:$B$2000)=0)*(Contributions!$B$2:$B$2000&lt;&gt;""),0)),"")</f>
        <v/>
      </c>
      <c r="C39">
        <f>IF(B39="","",COUNTIF(Contributions!$B$2:$B$2000,B39))</f>
        <v/>
      </c>
      <c r="D39" s="12">
        <f>IF(B39="","",SUMIF(Contributions!$B$2:$B$2000,B39,Contributions!$C$2:$C$2000))</f>
        <v/>
      </c>
    </row>
    <row r="40">
      <c r="A40">
        <f>IF(B40="","",29)</f>
        <v/>
      </c>
      <c r="B40">
        <f t="array" ref="B40">IFERROR(INDEX(Contributions!$B$2:$B$2000,MATCH(1,(COUNTIF($B$11:B39,Contributions!$B$2:$B$2000)=0)*(Contributions!$B$2:$B$2000&lt;&gt;""),0)),"")</f>
        <v/>
      </c>
      <c r="C40">
        <f>IF(B40="","",COUNTIF(Contributions!$B$2:$B$2000,B40))</f>
        <v/>
      </c>
      <c r="D40" s="12">
        <f>IF(B40="","",SUMIF(Contributions!$B$2:$B$2000,B40,Contributions!$C$2:$C$2000))</f>
        <v/>
      </c>
    </row>
    <row r="41">
      <c r="A41">
        <f>IF(B41="","",30)</f>
        <v/>
      </c>
      <c r="B41">
        <f t="array" ref="B41">IFERROR(INDEX(Contributions!$B$2:$B$2000,MATCH(1,(COUNTIF($B$11:B40,Contributions!$B$2:$B$2000)=0)*(Contributions!$B$2:$B$2000&lt;&gt;""),0)),"")</f>
        <v/>
      </c>
      <c r="C41">
        <f>IF(B41="","",COUNTIF(Contributions!$B$2:$B$2000,B41))</f>
        <v/>
      </c>
      <c r="D41" s="12">
        <f>IF(B41="","",SUMIF(Contributions!$B$2:$B$2000,B41,Contributions!$C$2:$C$2000))</f>
        <v/>
      </c>
    </row>
    <row r="42">
      <c r="A42">
        <f>IF(B42="","",31)</f>
        <v/>
      </c>
      <c r="B42">
        <f t="array" ref="B42">IFERROR(INDEX(Contributions!$B$2:$B$2000,MATCH(1,(COUNTIF($B$11:B41,Contributions!$B$2:$B$2000)=0)*(Contributions!$B$2:$B$2000&lt;&gt;""),0)),"")</f>
        <v/>
      </c>
      <c r="C42">
        <f>IF(B42="","",COUNTIF(Contributions!$B$2:$B$2000,B42))</f>
        <v/>
      </c>
      <c r="D42" s="12">
        <f>IF(B42="","",SUMIF(Contributions!$B$2:$B$2000,B42,Contributions!$C$2:$C$2000))</f>
        <v/>
      </c>
    </row>
    <row r="43">
      <c r="A43">
        <f>IF(B43="","",32)</f>
        <v/>
      </c>
      <c r="B43">
        <f t="array" ref="B43">IFERROR(INDEX(Contributions!$B$2:$B$2000,MATCH(1,(COUNTIF($B$11:B42,Contributions!$B$2:$B$2000)=0)*(Contributions!$B$2:$B$2000&lt;&gt;""),0)),"")</f>
        <v/>
      </c>
      <c r="C43">
        <f>IF(B43="","",COUNTIF(Contributions!$B$2:$B$2000,B43))</f>
        <v/>
      </c>
      <c r="D43" s="12">
        <f>IF(B43="","",SUMIF(Contributions!$B$2:$B$2000,B43,Contributions!$C$2:$C$2000))</f>
        <v/>
      </c>
    </row>
    <row r="44">
      <c r="A44">
        <f>IF(B44="","",33)</f>
        <v/>
      </c>
      <c r="B44">
        <f t="array" ref="B44">IFERROR(INDEX(Contributions!$B$2:$B$2000,MATCH(1,(COUNTIF($B$11:B43,Contributions!$B$2:$B$2000)=0)*(Contributions!$B$2:$B$2000&lt;&gt;""),0)),"")</f>
        <v/>
      </c>
      <c r="C44">
        <f>IF(B44="","",COUNTIF(Contributions!$B$2:$B$2000,B44))</f>
        <v/>
      </c>
      <c r="D44" s="12">
        <f>IF(B44="","",SUMIF(Contributions!$B$2:$B$2000,B44,Contributions!$C$2:$C$2000))</f>
        <v/>
      </c>
    </row>
    <row r="45">
      <c r="A45">
        <f>IF(B45="","",34)</f>
        <v/>
      </c>
      <c r="B45">
        <f t="array" ref="B45">IFERROR(INDEX(Contributions!$B$2:$B$2000,MATCH(1,(COUNTIF($B$11:B44,Contributions!$B$2:$B$2000)=0)*(Contributions!$B$2:$B$2000&lt;&gt;""),0)),"")</f>
        <v/>
      </c>
      <c r="C45">
        <f>IF(B45="","",COUNTIF(Contributions!$B$2:$B$2000,B45))</f>
        <v/>
      </c>
      <c r="D45" s="12">
        <f>IF(B45="","",SUMIF(Contributions!$B$2:$B$2000,B45,Contributions!$C$2:$C$2000))</f>
        <v/>
      </c>
    </row>
    <row r="46">
      <c r="A46">
        <f>IF(B46="","",35)</f>
        <v/>
      </c>
      <c r="B46">
        <f t="array" ref="B46">IFERROR(INDEX(Contributions!$B$2:$B$2000,MATCH(1,(COUNTIF($B$11:B45,Contributions!$B$2:$B$2000)=0)*(Contributions!$B$2:$B$2000&lt;&gt;""),0)),"")</f>
        <v/>
      </c>
      <c r="C46">
        <f>IF(B46="","",COUNTIF(Contributions!$B$2:$B$2000,B46))</f>
        <v/>
      </c>
      <c r="D46" s="12">
        <f>IF(B46="","",SUMIF(Contributions!$B$2:$B$2000,B46,Contributions!$C$2:$C$2000))</f>
        <v/>
      </c>
    </row>
    <row r="47">
      <c r="A47">
        <f>IF(B47="","",36)</f>
        <v/>
      </c>
      <c r="B47">
        <f t="array" ref="B47">IFERROR(INDEX(Contributions!$B$2:$B$2000,MATCH(1,(COUNTIF($B$11:B46,Contributions!$B$2:$B$2000)=0)*(Contributions!$B$2:$B$2000&lt;&gt;""),0)),"")</f>
        <v/>
      </c>
      <c r="C47">
        <f>IF(B47="","",COUNTIF(Contributions!$B$2:$B$2000,B47))</f>
        <v/>
      </c>
      <c r="D47" s="12">
        <f>IF(B47="","",SUMIF(Contributions!$B$2:$B$2000,B47,Contributions!$C$2:$C$2000))</f>
        <v/>
      </c>
    </row>
    <row r="48">
      <c r="A48">
        <f>IF(B48="","",37)</f>
        <v/>
      </c>
      <c r="B48">
        <f t="array" ref="B48">IFERROR(INDEX(Contributions!$B$2:$B$2000,MATCH(1,(COUNTIF($B$11:B47,Contributions!$B$2:$B$2000)=0)*(Contributions!$B$2:$B$2000&lt;&gt;""),0)),"")</f>
        <v/>
      </c>
      <c r="C48">
        <f>IF(B48="","",COUNTIF(Contributions!$B$2:$B$2000,B48))</f>
        <v/>
      </c>
      <c r="D48" s="12">
        <f>IF(B48="","",SUMIF(Contributions!$B$2:$B$2000,B48,Contributions!$C$2:$C$2000))</f>
        <v/>
      </c>
    </row>
    <row r="49">
      <c r="A49">
        <f>IF(B49="","",38)</f>
        <v/>
      </c>
      <c r="B49">
        <f t="array" ref="B49">IFERROR(INDEX(Contributions!$B$2:$B$2000,MATCH(1,(COUNTIF($B$11:B48,Contributions!$B$2:$B$2000)=0)*(Contributions!$B$2:$B$2000&lt;&gt;""),0)),"")</f>
        <v/>
      </c>
      <c r="C49">
        <f>IF(B49="","",COUNTIF(Contributions!$B$2:$B$2000,B49))</f>
        <v/>
      </c>
      <c r="D49" s="12">
        <f>IF(B49="","",SUMIF(Contributions!$B$2:$B$2000,B49,Contributions!$C$2:$C$2000))</f>
        <v/>
      </c>
    </row>
    <row r="50">
      <c r="A50">
        <f>IF(B50="","",39)</f>
        <v/>
      </c>
      <c r="B50">
        <f t="array" ref="B50">IFERROR(INDEX(Contributions!$B$2:$B$2000,MATCH(1,(COUNTIF($B$11:B49,Contributions!$B$2:$B$2000)=0)*(Contributions!$B$2:$B$2000&lt;&gt;""),0)),"")</f>
        <v/>
      </c>
      <c r="C50">
        <f>IF(B50="","",COUNTIF(Contributions!$B$2:$B$2000,B50))</f>
        <v/>
      </c>
      <c r="D50" s="12">
        <f>IF(B50="","",SUMIF(Contributions!$B$2:$B$2000,B50,Contributions!$C$2:$C$2000))</f>
        <v/>
      </c>
    </row>
    <row r="51">
      <c r="A51">
        <f>IF(B51="","",40)</f>
        <v/>
      </c>
      <c r="B51">
        <f t="array" ref="B51">IFERROR(INDEX(Contributions!$B$2:$B$2000,MATCH(1,(COUNTIF($B$11:B50,Contributions!$B$2:$B$2000)=0)*(Contributions!$B$2:$B$2000&lt;&gt;""),0)),"")</f>
        <v/>
      </c>
      <c r="C51">
        <f>IF(B51="","",COUNTIF(Contributions!$B$2:$B$2000,B51))</f>
        <v/>
      </c>
      <c r="D51" s="12">
        <f>IF(B51="","",SUMIF(Contributions!$B$2:$B$2000,B51,Contributions!$C$2:$C$2000))</f>
        <v/>
      </c>
    </row>
    <row r="52">
      <c r="A52">
        <f>IF(B52="","",41)</f>
        <v/>
      </c>
      <c r="B52">
        <f t="array" ref="B52">IFERROR(INDEX(Contributions!$B$2:$B$2000,MATCH(1,(COUNTIF($B$11:B51,Contributions!$B$2:$B$2000)=0)*(Contributions!$B$2:$B$2000&lt;&gt;""),0)),"")</f>
        <v/>
      </c>
      <c r="C52">
        <f>IF(B52="","",COUNTIF(Contributions!$B$2:$B$2000,B52))</f>
        <v/>
      </c>
      <c r="D52" s="12">
        <f>IF(B52="","",SUMIF(Contributions!$B$2:$B$2000,B52,Contributions!$C$2:$C$2000))</f>
        <v/>
      </c>
    </row>
    <row r="53">
      <c r="A53">
        <f>IF(B53="","",42)</f>
        <v/>
      </c>
      <c r="B53">
        <f t="array" ref="B53">IFERROR(INDEX(Contributions!$B$2:$B$2000,MATCH(1,(COUNTIF($B$11:B52,Contributions!$B$2:$B$2000)=0)*(Contributions!$B$2:$B$2000&lt;&gt;""),0)),"")</f>
        <v/>
      </c>
      <c r="C53">
        <f>IF(B53="","",COUNTIF(Contributions!$B$2:$B$2000,B53))</f>
        <v/>
      </c>
      <c r="D53" s="12">
        <f>IF(B53="","",SUMIF(Contributions!$B$2:$B$2000,B53,Contributions!$C$2:$C$2000))</f>
        <v/>
      </c>
    </row>
    <row r="54">
      <c r="A54">
        <f>IF(B54="","",43)</f>
        <v/>
      </c>
      <c r="B54">
        <f t="array" ref="B54">IFERROR(INDEX(Contributions!$B$2:$B$2000,MATCH(1,(COUNTIF($B$11:B53,Contributions!$B$2:$B$2000)=0)*(Contributions!$B$2:$B$2000&lt;&gt;""),0)),"")</f>
        <v/>
      </c>
      <c r="C54">
        <f>IF(B54="","",COUNTIF(Contributions!$B$2:$B$2000,B54))</f>
        <v/>
      </c>
      <c r="D54" s="12">
        <f>IF(B54="","",SUMIF(Contributions!$B$2:$B$2000,B54,Contributions!$C$2:$C$2000))</f>
        <v/>
      </c>
    </row>
    <row r="55">
      <c r="A55">
        <f>IF(B55="","",44)</f>
        <v/>
      </c>
      <c r="B55">
        <f t="array" ref="B55">IFERROR(INDEX(Contributions!$B$2:$B$2000,MATCH(1,(COUNTIF($B$11:B54,Contributions!$B$2:$B$2000)=0)*(Contributions!$B$2:$B$2000&lt;&gt;""),0)),"")</f>
        <v/>
      </c>
      <c r="C55">
        <f>IF(B55="","",COUNTIF(Contributions!$B$2:$B$2000,B55))</f>
        <v/>
      </c>
      <c r="D55" s="12">
        <f>IF(B55="","",SUMIF(Contributions!$B$2:$B$2000,B55,Contributions!$C$2:$C$2000))</f>
        <v/>
      </c>
    </row>
    <row r="56">
      <c r="A56">
        <f>IF(B56="","",45)</f>
        <v/>
      </c>
      <c r="B56">
        <f t="array" ref="B56">IFERROR(INDEX(Contributions!$B$2:$B$2000,MATCH(1,(COUNTIF($B$11:B55,Contributions!$B$2:$B$2000)=0)*(Contributions!$B$2:$B$2000&lt;&gt;""),0)),"")</f>
        <v/>
      </c>
      <c r="C56">
        <f>IF(B56="","",COUNTIF(Contributions!$B$2:$B$2000,B56))</f>
        <v/>
      </c>
      <c r="D56" s="12">
        <f>IF(B56="","",SUMIF(Contributions!$B$2:$B$2000,B56,Contributions!$C$2:$C$2000))</f>
        <v/>
      </c>
    </row>
    <row r="57">
      <c r="A57">
        <f>IF(B57="","",46)</f>
        <v/>
      </c>
      <c r="B57">
        <f t="array" ref="B57">IFERROR(INDEX(Contributions!$B$2:$B$2000,MATCH(1,(COUNTIF($B$11:B56,Contributions!$B$2:$B$2000)=0)*(Contributions!$B$2:$B$2000&lt;&gt;""),0)),"")</f>
        <v/>
      </c>
      <c r="C57">
        <f>IF(B57="","",COUNTIF(Contributions!$B$2:$B$2000,B57))</f>
        <v/>
      </c>
      <c r="D57" s="12">
        <f>IF(B57="","",SUMIF(Contributions!$B$2:$B$2000,B57,Contributions!$C$2:$C$2000))</f>
        <v/>
      </c>
    </row>
    <row r="58">
      <c r="A58">
        <f>IF(B58="","",47)</f>
        <v/>
      </c>
      <c r="B58">
        <f t="array" ref="B58">IFERROR(INDEX(Contributions!$B$2:$B$2000,MATCH(1,(COUNTIF($B$11:B57,Contributions!$B$2:$B$2000)=0)*(Contributions!$B$2:$B$2000&lt;&gt;""),0)),"")</f>
        <v/>
      </c>
      <c r="C58">
        <f>IF(B58="","",COUNTIF(Contributions!$B$2:$B$2000,B58))</f>
        <v/>
      </c>
      <c r="D58" s="12">
        <f>IF(B58="","",SUMIF(Contributions!$B$2:$B$2000,B58,Contributions!$C$2:$C$2000))</f>
        <v/>
      </c>
    </row>
    <row r="59">
      <c r="A59">
        <f>IF(B59="","",48)</f>
        <v/>
      </c>
      <c r="B59">
        <f t="array" ref="B59">IFERROR(INDEX(Contributions!$B$2:$B$2000,MATCH(1,(COUNTIF($B$11:B58,Contributions!$B$2:$B$2000)=0)*(Contributions!$B$2:$B$2000&lt;&gt;""),0)),"")</f>
        <v/>
      </c>
      <c r="C59">
        <f>IF(B59="","",COUNTIF(Contributions!$B$2:$B$2000,B59))</f>
        <v/>
      </c>
      <c r="D59" s="12">
        <f>IF(B59="","",SUMIF(Contributions!$B$2:$B$2000,B59,Contributions!$C$2:$C$2000))</f>
        <v/>
      </c>
    </row>
    <row r="60">
      <c r="A60">
        <f>IF(B60="","",49)</f>
        <v/>
      </c>
      <c r="B60">
        <f t="array" ref="B60">IFERROR(INDEX(Contributions!$B$2:$B$2000,MATCH(1,(COUNTIF($B$11:B59,Contributions!$B$2:$B$2000)=0)*(Contributions!$B$2:$B$2000&lt;&gt;""),0)),"")</f>
        <v/>
      </c>
      <c r="C60">
        <f>IF(B60="","",COUNTIF(Contributions!$B$2:$B$2000,B60))</f>
        <v/>
      </c>
      <c r="D60" s="12">
        <f>IF(B60="","",SUMIF(Contributions!$B$2:$B$2000,B60,Contributions!$C$2:$C$2000))</f>
        <v/>
      </c>
    </row>
    <row r="61">
      <c r="A61">
        <f>IF(B61="","",50)</f>
        <v/>
      </c>
      <c r="B61">
        <f t="array" ref="B61">IFERROR(INDEX(Contributions!$B$2:$B$2000,MATCH(1,(COUNTIF($B$11:B60,Contributions!$B$2:$B$2000)=0)*(Contributions!$B$2:$B$2000&lt;&gt;""),0)),"")</f>
        <v/>
      </c>
      <c r="C61">
        <f>IF(B61="","",COUNTIF(Contributions!$B$2:$B$2000,B61))</f>
        <v/>
      </c>
      <c r="D61" s="12">
        <f>IF(B61="","",SUMIF(Contributions!$B$2:$B$2000,B61,Contributions!$C$2:$C$2000))</f>
        <v/>
      </c>
    </row>
    <row r="62">
      <c r="A62">
        <f>IF(B62="","",51)</f>
        <v/>
      </c>
      <c r="B62">
        <f t="array" ref="B62">IFERROR(INDEX(Contributions!$B$2:$B$2000,MATCH(1,(COUNTIF($B$11:B61,Contributions!$B$2:$B$2000)=0)*(Contributions!$B$2:$B$2000&lt;&gt;""),0)),"")</f>
        <v/>
      </c>
      <c r="C62">
        <f>IF(B62="","",COUNTIF(Contributions!$B$2:$B$2000,B62))</f>
        <v/>
      </c>
      <c r="D62" s="12">
        <f>IF(B62="","",SUMIF(Contributions!$B$2:$B$2000,B62,Contributions!$C$2:$C$2000))</f>
        <v/>
      </c>
    </row>
    <row r="63">
      <c r="A63">
        <f>IF(B63="","",52)</f>
        <v/>
      </c>
      <c r="B63">
        <f t="array" ref="B63">IFERROR(INDEX(Contributions!$B$2:$B$2000,MATCH(1,(COUNTIF($B$11:B62,Contributions!$B$2:$B$2000)=0)*(Contributions!$B$2:$B$2000&lt;&gt;""),0)),"")</f>
        <v/>
      </c>
      <c r="C63">
        <f>IF(B63="","",COUNTIF(Contributions!$B$2:$B$2000,B63))</f>
        <v/>
      </c>
      <c r="D63" s="12">
        <f>IF(B63="","",SUMIF(Contributions!$B$2:$B$2000,B63,Contributions!$C$2:$C$2000))</f>
        <v/>
      </c>
    </row>
    <row r="64">
      <c r="A64">
        <f>IF(B64="","",53)</f>
        <v/>
      </c>
      <c r="B64">
        <f t="array" ref="B64">IFERROR(INDEX(Contributions!$B$2:$B$2000,MATCH(1,(COUNTIF($B$11:B63,Contributions!$B$2:$B$2000)=0)*(Contributions!$B$2:$B$2000&lt;&gt;""),0)),"")</f>
        <v/>
      </c>
      <c r="C64">
        <f>IF(B64="","",COUNTIF(Contributions!$B$2:$B$2000,B64))</f>
        <v/>
      </c>
      <c r="D64" s="12">
        <f>IF(B64="","",SUMIF(Contributions!$B$2:$B$2000,B64,Contributions!$C$2:$C$2000))</f>
        <v/>
      </c>
    </row>
    <row r="65">
      <c r="A65">
        <f>IF(B65="","",54)</f>
        <v/>
      </c>
      <c r="B65">
        <f t="array" ref="B65">IFERROR(INDEX(Contributions!$B$2:$B$2000,MATCH(1,(COUNTIF($B$11:B64,Contributions!$B$2:$B$2000)=0)*(Contributions!$B$2:$B$2000&lt;&gt;""),0)),"")</f>
        <v/>
      </c>
      <c r="C65">
        <f>IF(B65="","",COUNTIF(Contributions!$B$2:$B$2000,B65))</f>
        <v/>
      </c>
      <c r="D65" s="12">
        <f>IF(B65="","",SUMIF(Contributions!$B$2:$B$2000,B65,Contributions!$C$2:$C$2000))</f>
        <v/>
      </c>
    </row>
    <row r="66">
      <c r="A66">
        <f>IF(B66="","",55)</f>
        <v/>
      </c>
      <c r="B66">
        <f t="array" ref="B66">IFERROR(INDEX(Contributions!$B$2:$B$2000,MATCH(1,(COUNTIF($B$11:B65,Contributions!$B$2:$B$2000)=0)*(Contributions!$B$2:$B$2000&lt;&gt;""),0)),"")</f>
        <v/>
      </c>
      <c r="C66">
        <f>IF(B66="","",COUNTIF(Contributions!$B$2:$B$2000,B66))</f>
        <v/>
      </c>
      <c r="D66" s="12">
        <f>IF(B66="","",SUMIF(Contributions!$B$2:$B$2000,B66,Contributions!$C$2:$C$2000))</f>
        <v/>
      </c>
    </row>
    <row r="67">
      <c r="A67">
        <f>IF(B67="","",56)</f>
        <v/>
      </c>
      <c r="B67">
        <f t="array" ref="B67">IFERROR(INDEX(Contributions!$B$2:$B$2000,MATCH(1,(COUNTIF($B$11:B66,Contributions!$B$2:$B$2000)=0)*(Contributions!$B$2:$B$2000&lt;&gt;""),0)),"")</f>
        <v/>
      </c>
      <c r="C67">
        <f>IF(B67="","",COUNTIF(Contributions!$B$2:$B$2000,B67))</f>
        <v/>
      </c>
      <c r="D67" s="12">
        <f>IF(B67="","",SUMIF(Contributions!$B$2:$B$2000,B67,Contributions!$C$2:$C$2000))</f>
        <v/>
      </c>
    </row>
    <row r="68">
      <c r="A68">
        <f>IF(B68="","",57)</f>
        <v/>
      </c>
      <c r="B68">
        <f t="array" ref="B68">IFERROR(INDEX(Contributions!$B$2:$B$2000,MATCH(1,(COUNTIF($B$11:B67,Contributions!$B$2:$B$2000)=0)*(Contributions!$B$2:$B$2000&lt;&gt;""),0)),"")</f>
        <v/>
      </c>
      <c r="C68">
        <f>IF(B68="","",COUNTIF(Contributions!$B$2:$B$2000,B68))</f>
        <v/>
      </c>
      <c r="D68" s="12">
        <f>IF(B68="","",SUMIF(Contributions!$B$2:$B$2000,B68,Contributions!$C$2:$C$2000))</f>
        <v/>
      </c>
    </row>
    <row r="69">
      <c r="A69">
        <f>IF(B69="","",58)</f>
        <v/>
      </c>
      <c r="B69">
        <f t="array" ref="B69">IFERROR(INDEX(Contributions!$B$2:$B$2000,MATCH(1,(COUNTIF($B$11:B68,Contributions!$B$2:$B$2000)=0)*(Contributions!$B$2:$B$2000&lt;&gt;""),0)),"")</f>
        <v/>
      </c>
      <c r="C69">
        <f>IF(B69="","",COUNTIF(Contributions!$B$2:$B$2000,B69))</f>
        <v/>
      </c>
      <c r="D69" s="12">
        <f>IF(B69="","",SUMIF(Contributions!$B$2:$B$2000,B69,Contributions!$C$2:$C$2000))</f>
        <v/>
      </c>
    </row>
    <row r="70">
      <c r="A70">
        <f>IF(B70="","",59)</f>
        <v/>
      </c>
      <c r="B70">
        <f t="array" ref="B70">IFERROR(INDEX(Contributions!$B$2:$B$2000,MATCH(1,(COUNTIF($B$11:B69,Contributions!$B$2:$B$2000)=0)*(Contributions!$B$2:$B$2000&lt;&gt;""),0)),"")</f>
        <v/>
      </c>
      <c r="C70">
        <f>IF(B70="","",COUNTIF(Contributions!$B$2:$B$2000,B70))</f>
        <v/>
      </c>
      <c r="D70" s="12">
        <f>IF(B70="","",SUMIF(Contributions!$B$2:$B$2000,B70,Contributions!$C$2:$C$2000))</f>
        <v/>
      </c>
    </row>
    <row r="71">
      <c r="A71">
        <f>IF(B71="","",60)</f>
        <v/>
      </c>
      <c r="B71">
        <f t="array" ref="B71">IFERROR(INDEX(Contributions!$B$2:$B$2000,MATCH(1,(COUNTIF($B$11:B70,Contributions!$B$2:$B$2000)=0)*(Contributions!$B$2:$B$2000&lt;&gt;""),0)),"")</f>
        <v/>
      </c>
      <c r="C71">
        <f>IF(B71="","",COUNTIF(Contributions!$B$2:$B$2000,B71))</f>
        <v/>
      </c>
      <c r="D71" s="12">
        <f>IF(B71="","",SUMIF(Contributions!$B$2:$B$2000,B71,Contributions!$C$2:$C$2000))</f>
        <v/>
      </c>
    </row>
    <row r="72">
      <c r="B72" s="13">
        <f>COUNTIF(B12:B71,"?*")&amp;" contributors"</f>
        <v/>
      </c>
      <c r="C72" s="14">
        <f>SUM(C12:C71)</f>
        <v/>
      </c>
      <c r="D72" s="15">
        <f>SUM(D12:D71)</f>
        <v/>
      </c>
    </row>
    <row r="74">
      <c r="A74" s="16" t="inlineStr">
        <is>
          <t>Every payment, in date order, is on the Contributions tab. Only the managers can add or change entries.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7" min="1" max="1"/>
    <col width="30" customWidth="1" min="2" max="2"/>
    <col width="15" customWidth="1" style="12" min="3" max="3"/>
    <col width="40" customWidth="1" min="4" max="4"/>
  </cols>
  <sheetData>
    <row r="1" ht="24" customHeight="1">
      <c r="A1" s="18" t="inlineStr">
        <is>
          <t>Date received</t>
        </is>
      </c>
      <c r="B1" s="18" t="inlineStr">
        <is>
          <t>Member name</t>
        </is>
      </c>
      <c r="C1" s="18" t="inlineStr">
        <is>
          <t>Amount (GHS)</t>
        </is>
      </c>
      <c r="D1" s="18" t="inlineStr">
        <is>
          <t>Note (optional)</t>
        </is>
      </c>
    </row>
    <row r="2">
      <c r="A2" s="19" t="n"/>
      <c r="B2" s="20" t="n"/>
      <c r="C2" s="21" t="n"/>
      <c r="D2" s="20" t="n"/>
    </row>
    <row r="3">
      <c r="A3" s="19" t="n"/>
      <c r="B3" s="20" t="n"/>
      <c r="C3" s="21" t="n"/>
      <c r="D3" s="20" t="n"/>
    </row>
    <row r="4">
      <c r="A4" s="19" t="n"/>
      <c r="B4" s="20" t="n"/>
      <c r="C4" s="21" t="n"/>
      <c r="D4" s="20" t="n"/>
    </row>
    <row r="5">
      <c r="A5" s="19" t="n"/>
      <c r="B5" s="20" t="n"/>
      <c r="C5" s="21" t="n"/>
      <c r="D5" s="20" t="n"/>
    </row>
    <row r="6">
      <c r="A6" s="19" t="n"/>
      <c r="B6" s="20" t="n"/>
      <c r="C6" s="21" t="n"/>
      <c r="D6" s="20" t="n"/>
    </row>
    <row r="7">
      <c r="A7" s="19" t="n"/>
      <c r="B7" s="20" t="n"/>
      <c r="C7" s="21" t="n"/>
      <c r="D7" s="20" t="n"/>
    </row>
    <row r="8">
      <c r="A8" s="19" t="n"/>
      <c r="B8" s="20" t="n"/>
      <c r="C8" s="21" t="n"/>
      <c r="D8" s="20" t="n"/>
    </row>
    <row r="9">
      <c r="A9" s="19" t="n"/>
      <c r="B9" s="20" t="n"/>
      <c r="C9" s="21" t="n"/>
      <c r="D9" s="20" t="n"/>
    </row>
    <row r="10">
      <c r="A10" s="19" t="n"/>
      <c r="B10" s="20" t="n"/>
      <c r="C10" s="21" t="n"/>
      <c r="D10" s="20" t="n"/>
    </row>
    <row r="11">
      <c r="A11" s="19" t="n"/>
      <c r="B11" s="20" t="n"/>
      <c r="C11" s="21" t="n"/>
      <c r="D11" s="20" t="n"/>
    </row>
    <row r="12">
      <c r="A12" s="19" t="n"/>
      <c r="B12" s="20" t="n"/>
      <c r="C12" s="21" t="n"/>
      <c r="D12" s="20" t="n"/>
    </row>
    <row r="13">
      <c r="A13" s="19" t="n"/>
      <c r="B13" s="20" t="n"/>
      <c r="C13" s="21" t="n"/>
      <c r="D13" s="20" t="n"/>
    </row>
    <row r="14">
      <c r="A14" s="19" t="n"/>
      <c r="B14" s="20" t="n"/>
      <c r="C14" s="21" t="n"/>
      <c r="D14" s="20" t="n"/>
    </row>
    <row r="15">
      <c r="A15" s="19" t="n"/>
      <c r="B15" s="20" t="n"/>
      <c r="C15" s="21" t="n"/>
      <c r="D15" s="20" t="n"/>
    </row>
    <row r="16">
      <c r="A16" s="19" t="n"/>
      <c r="B16" s="20" t="n"/>
      <c r="C16" s="21" t="n"/>
      <c r="D16" s="20" t="n"/>
    </row>
    <row r="17">
      <c r="A17" s="19" t="n"/>
      <c r="B17" s="20" t="n"/>
      <c r="C17" s="21" t="n"/>
      <c r="D17" s="20" t="n"/>
    </row>
    <row r="18">
      <c r="A18" s="19" t="n"/>
      <c r="B18" s="20" t="n"/>
      <c r="C18" s="21" t="n"/>
      <c r="D18" s="20" t="n"/>
    </row>
    <row r="19">
      <c r="A19" s="19" t="n"/>
      <c r="B19" s="20" t="n"/>
      <c r="C19" s="21" t="n"/>
      <c r="D19" s="20" t="n"/>
    </row>
    <row r="20">
      <c r="A20" s="19" t="n"/>
      <c r="B20" s="20" t="n"/>
      <c r="C20" s="21" t="n"/>
      <c r="D20" s="20" t="n"/>
    </row>
    <row r="21">
      <c r="A21" s="19" t="n"/>
      <c r="B21" s="20" t="n"/>
      <c r="C21" s="21" t="n"/>
      <c r="D21" s="20" t="n"/>
    </row>
    <row r="22">
      <c r="A22" s="19" t="n"/>
      <c r="B22" s="20" t="n"/>
      <c r="C22" s="21" t="n"/>
      <c r="D22" s="20" t="n"/>
    </row>
    <row r="23">
      <c r="A23" s="19" t="n"/>
      <c r="B23" s="20" t="n"/>
      <c r="C23" s="21" t="n"/>
      <c r="D23" s="20" t="n"/>
    </row>
    <row r="24">
      <c r="A24" s="19" t="n"/>
      <c r="B24" s="20" t="n"/>
      <c r="C24" s="21" t="n"/>
      <c r="D24" s="20" t="n"/>
    </row>
    <row r="25">
      <c r="A25" s="19" t="n"/>
      <c r="B25" s="20" t="n"/>
      <c r="C25" s="21" t="n"/>
      <c r="D25" s="20" t="n"/>
    </row>
    <row r="26">
      <c r="A26" s="19" t="n"/>
      <c r="B26" s="20" t="n"/>
      <c r="C26" s="21" t="n"/>
      <c r="D26" s="20" t="n"/>
    </row>
    <row r="27">
      <c r="A27" s="19" t="n"/>
      <c r="B27" s="20" t="n"/>
      <c r="C27" s="21" t="n"/>
      <c r="D27" s="20" t="n"/>
    </row>
    <row r="28">
      <c r="A28" s="19" t="n"/>
      <c r="B28" s="20" t="n"/>
      <c r="C28" s="21" t="n"/>
      <c r="D28" s="20" t="n"/>
    </row>
    <row r="29">
      <c r="A29" s="19" t="n"/>
      <c r="B29" s="20" t="n"/>
      <c r="C29" s="21" t="n"/>
      <c r="D29" s="20" t="n"/>
    </row>
    <row r="30">
      <c r="A30" s="19" t="n"/>
      <c r="B30" s="20" t="n"/>
      <c r="C30" s="21" t="n"/>
      <c r="D30" s="20" t="n"/>
    </row>
    <row r="31">
      <c r="A31" s="19" t="n"/>
      <c r="B31" s="20" t="n"/>
      <c r="C31" s="21" t="n"/>
      <c r="D31" s="20" t="n"/>
    </row>
    <row r="32">
      <c r="A32" s="19" t="n"/>
      <c r="B32" s="20" t="n"/>
      <c r="C32" s="21" t="n"/>
      <c r="D32" s="20" t="n"/>
    </row>
    <row r="33">
      <c r="A33" s="19" t="n"/>
      <c r="B33" s="20" t="n"/>
      <c r="C33" s="21" t="n"/>
      <c r="D33" s="20" t="n"/>
    </row>
    <row r="34">
      <c r="A34" s="19" t="n"/>
      <c r="B34" s="20" t="n"/>
      <c r="C34" s="21" t="n"/>
      <c r="D34" s="20" t="n"/>
    </row>
    <row r="35">
      <c r="A35" s="19" t="n"/>
      <c r="B35" s="20" t="n"/>
      <c r="C35" s="21" t="n"/>
      <c r="D35" s="20" t="n"/>
    </row>
    <row r="36">
      <c r="A36" s="19" t="n"/>
      <c r="B36" s="20" t="n"/>
      <c r="C36" s="21" t="n"/>
      <c r="D36" s="20" t="n"/>
    </row>
    <row r="37">
      <c r="A37" s="19" t="n"/>
      <c r="B37" s="20" t="n"/>
      <c r="C37" s="21" t="n"/>
      <c r="D37" s="20" t="n"/>
    </row>
    <row r="38">
      <c r="A38" s="19" t="n"/>
      <c r="B38" s="20" t="n"/>
      <c r="C38" s="21" t="n"/>
      <c r="D38" s="20" t="n"/>
    </row>
    <row r="39">
      <c r="A39" s="19" t="n"/>
      <c r="B39" s="20" t="n"/>
      <c r="C39" s="21" t="n"/>
      <c r="D39" s="20" t="n"/>
    </row>
    <row r="40">
      <c r="A40" s="19" t="n"/>
      <c r="B40" s="20" t="n"/>
      <c r="C40" s="21" t="n"/>
      <c r="D40" s="20" t="n"/>
    </row>
    <row r="41">
      <c r="A41" s="19" t="n"/>
      <c r="B41" s="20" t="n"/>
      <c r="C41" s="21" t="n"/>
      <c r="D41" s="20" t="n"/>
    </row>
    <row r="42">
      <c r="A42" s="19" t="n"/>
      <c r="B42" s="20" t="n"/>
      <c r="C42" s="21" t="n"/>
      <c r="D42" s="20" t="n"/>
    </row>
    <row r="43">
      <c r="A43" s="19" t="n"/>
      <c r="B43" s="20" t="n"/>
      <c r="C43" s="21" t="n"/>
      <c r="D43" s="20" t="n"/>
    </row>
    <row r="44">
      <c r="A44" s="19" t="n"/>
      <c r="B44" s="20" t="n"/>
      <c r="C44" s="21" t="n"/>
      <c r="D44" s="20" t="n"/>
    </row>
    <row r="45">
      <c r="A45" s="19" t="n"/>
      <c r="B45" s="20" t="n"/>
      <c r="C45" s="21" t="n"/>
      <c r="D45" s="20" t="n"/>
    </row>
    <row r="46">
      <c r="A46" s="19" t="n"/>
      <c r="B46" s="20" t="n"/>
      <c r="C46" s="21" t="n"/>
      <c r="D46" s="20" t="n"/>
    </row>
    <row r="47">
      <c r="A47" s="19" t="n"/>
      <c r="B47" s="20" t="n"/>
      <c r="C47" s="21" t="n"/>
      <c r="D47" s="20" t="n"/>
    </row>
    <row r="48">
      <c r="A48" s="19" t="n"/>
      <c r="B48" s="20" t="n"/>
      <c r="C48" s="21" t="n"/>
      <c r="D48" s="20" t="n"/>
    </row>
    <row r="49">
      <c r="A49" s="19" t="n"/>
      <c r="B49" s="20" t="n"/>
      <c r="C49" s="21" t="n"/>
      <c r="D49" s="20" t="n"/>
    </row>
    <row r="50">
      <c r="A50" s="19" t="n"/>
      <c r="B50" s="20" t="n"/>
      <c r="C50" s="21" t="n"/>
      <c r="D50" s="20" t="n"/>
    </row>
    <row r="51">
      <c r="A51" s="19" t="n"/>
      <c r="B51" s="20" t="n"/>
      <c r="C51" s="21" t="n"/>
      <c r="D51" s="20" t="n"/>
    </row>
    <row r="52">
      <c r="A52" s="19" t="n"/>
      <c r="B52" s="20" t="n"/>
      <c r="C52" s="21" t="n"/>
      <c r="D52" s="20" t="n"/>
    </row>
    <row r="53">
      <c r="A53" s="19" t="n"/>
      <c r="B53" s="20" t="n"/>
      <c r="C53" s="21" t="n"/>
      <c r="D53" s="20" t="n"/>
    </row>
    <row r="54">
      <c r="A54" s="19" t="n"/>
      <c r="B54" s="20" t="n"/>
      <c r="C54" s="21" t="n"/>
      <c r="D54" s="20" t="n"/>
    </row>
    <row r="55">
      <c r="A55" s="19" t="n"/>
      <c r="B55" s="20" t="n"/>
      <c r="C55" s="21" t="n"/>
      <c r="D55" s="20" t="n"/>
    </row>
    <row r="56">
      <c r="A56" s="19" t="n"/>
      <c r="B56" s="20" t="n"/>
      <c r="C56" s="21" t="n"/>
      <c r="D56" s="20" t="n"/>
    </row>
    <row r="57">
      <c r="A57" s="19" t="n"/>
      <c r="B57" s="20" t="n"/>
      <c r="C57" s="21" t="n"/>
      <c r="D57" s="20" t="n"/>
    </row>
    <row r="58">
      <c r="A58" s="19" t="n"/>
      <c r="B58" s="20" t="n"/>
      <c r="C58" s="21" t="n"/>
      <c r="D58" s="20" t="n"/>
    </row>
    <row r="59">
      <c r="A59" s="19" t="n"/>
      <c r="B59" s="20" t="n"/>
      <c r="C59" s="21" t="n"/>
      <c r="D59" s="20" t="n"/>
    </row>
    <row r="60">
      <c r="A60" s="19" t="n"/>
      <c r="B60" s="20" t="n"/>
      <c r="C60" s="21" t="n"/>
      <c r="D60" s="20" t="n"/>
    </row>
    <row r="61">
      <c r="A61" s="19" t="n"/>
      <c r="B61" s="20" t="n"/>
      <c r="C61" s="21" t="n"/>
      <c r="D61" s="20" t="n"/>
    </row>
  </sheetData>
  <dataValidations count="2">
    <dataValidation sqref="A2:A2000" showDropDown="0" showInputMessage="0" showErrorMessage="1" allowBlank="1" errorTitle="Date" error="Type the date the money was received, e.g. 16/09/2026." type="date" operator="greaterThan">
      <formula1>DATE(2020,1,1)</formula1>
    </dataValidation>
    <dataValidation sqref="C2:C2000" showDropDown="0" showInputMessage="0" showErrorMessage="1" allowBlank="1" errorTitle="Amount" error="Type the amount in cedis as a number, e.g. 150 or 150.50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How this ledger works</t>
        </is>
      </c>
    </row>
    <row r="2">
      <c r="A2" s="23" t="inlineStr"/>
    </row>
    <row r="3">
      <c r="A3" s="23" t="inlineStr">
        <is>
          <t>MEMBERS: open the Ledger tab. It shows the total collected, how many people have given, and each person's total. Nothing on it can be typed into.</t>
        </is>
      </c>
    </row>
    <row r="4">
      <c r="A4" s="23" t="inlineStr"/>
    </row>
    <row r="5">
      <c r="A5" s="23" t="inlineStr">
        <is>
          <t>MANAGERS (Charles Quaye, Emmanuel Kpakpoe Addo): open the Contributions tab and type one row per payment received:</t>
        </is>
      </c>
    </row>
    <row r="6">
      <c r="A6" s="23" t="inlineStr">
        <is>
          <t xml:space="preserve">   1. Date received – the day the money arrived.</t>
        </is>
      </c>
    </row>
    <row r="7">
      <c r="A7" s="23" t="inlineStr">
        <is>
          <t xml:space="preserve">   2. Member name – type the name the same way each time so the person's payments add up together (e.g. always 'Ama Mensah', not sometimes 'Ama').</t>
        </is>
      </c>
    </row>
    <row r="8">
      <c r="A8" s="23" t="inlineStr">
        <is>
          <t xml:space="preserve">   3. Amount (GHS) – the amount in cedis, numbers only.</t>
        </is>
      </c>
    </row>
    <row r="9">
      <c r="A9" s="23" t="inlineStr">
        <is>
          <t xml:space="preserve">   4. Note – optional. For money from abroad, put the original amount here, e.g. 'USD 50 via Western Union'.</t>
        </is>
      </c>
    </row>
    <row r="10">
      <c r="A10" s="23" t="inlineStr">
        <is>
          <t>The Ledger tab updates itself the moment a row is saved.</t>
        </is>
      </c>
    </row>
    <row r="11">
      <c r="A11" s="23" t="inlineStr"/>
    </row>
    <row r="12">
      <c r="A12" s="23" t="inlineStr">
        <is>
          <t>The yellow cells with blue text are the ones to type in. Start on row 2, directly under the headings.</t>
        </is>
      </c>
    </row>
    <row r="13">
      <c r="A13" s="23" t="inlineStr">
        <is>
          <t>To correct a mistake, edit the row. To remove a payment, clear the whole row.</t>
        </is>
      </c>
    </row>
    <row r="14">
      <c r="A14" s="23" t="inlineStr">
        <is>
          <t>The Ledger tab lists up to 60 different contributors; payments themselves are unlimited.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2026-09-16T16:40:56Z</dcterms:created>
  <dcterms:modified xsi:type="dcterms:W3CDTF">2026-09-16T16:40:56Z</dcterms:modified>
</cp:coreProperties>
</file>